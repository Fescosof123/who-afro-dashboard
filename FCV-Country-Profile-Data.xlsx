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sannio_who_int/Documents/Humanitarian/dashboard-app/"/>
    </mc:Choice>
  </mc:AlternateContent>
  <xr:revisionPtr revIDLastSave="3" documentId="8_{F0770ABF-6F2D-4033-8F95-EE35F6C77A6A}" xr6:coauthVersionLast="47" xr6:coauthVersionMax="47" xr10:uidLastSave="{84BD620B-4E66-46E6-810D-036257B6C2D9}"/>
  <bookViews>
    <workbookView xWindow="28680" yWindow="-120" windowWidth="29040" windowHeight="15720" xr2:uid="{B75E0341-3791-4A05-9814-356694CAC0BF}"/>
  </bookViews>
  <sheets>
    <sheet name="Sheet1" sheetId="1" r:id="rId1"/>
  </sheets>
  <definedNames>
    <definedName name="_xlnm._FilterDatabase" localSheetId="0" hidden="1">Sheet1!$A$1:$P$22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M15" i="1"/>
  <c r="L13" i="1"/>
  <c r="L6" i="1"/>
  <c r="L4" i="1"/>
  <c r="L14" i="1"/>
</calcChain>
</file>

<file path=xl/sharedStrings.xml><?xml version="1.0" encoding="utf-8"?>
<sst xmlns="http://schemas.openxmlformats.org/spreadsheetml/2006/main" count="100" uniqueCount="43">
  <si>
    <t>Countries</t>
  </si>
  <si>
    <t>Plan type</t>
  </si>
  <si>
    <t>FCV (Y/N)</t>
  </si>
  <si>
    <t>HCC (Y/N)</t>
  </si>
  <si>
    <t>People in need</t>
  </si>
  <si>
    <t>People targeted</t>
  </si>
  <si>
    <t>People prioritized</t>
  </si>
  <si>
    <t>People reached (HRP)</t>
  </si>
  <si>
    <t>People in need for health</t>
  </si>
  <si>
    <t>People targeted for health</t>
  </si>
  <si>
    <t>People reached for health</t>
  </si>
  <si>
    <t>Refugees + Asylum seekers</t>
  </si>
  <si>
    <t>IDPs</t>
  </si>
  <si>
    <t>Requirements</t>
  </si>
  <si>
    <t>Funding</t>
  </si>
  <si>
    <t>% Funded</t>
  </si>
  <si>
    <t>Burkina Faso</t>
  </si>
  <si>
    <t>HNRP</t>
  </si>
  <si>
    <t>Y</t>
  </si>
  <si>
    <t>Burundi</t>
  </si>
  <si>
    <t>Non plan</t>
  </si>
  <si>
    <t>N</t>
  </si>
  <si>
    <t>Cameroon</t>
  </si>
  <si>
    <t>Central African Republic</t>
  </si>
  <si>
    <t>Chad</t>
  </si>
  <si>
    <t>Comoros</t>
  </si>
  <si>
    <t>Democratic Republic of the Congo</t>
  </si>
  <si>
    <t>Eritrea</t>
  </si>
  <si>
    <t>Ethiopia</t>
  </si>
  <si>
    <t>Guinea-Bissau</t>
  </si>
  <si>
    <t>Madagascar</t>
  </si>
  <si>
    <t>FA</t>
  </si>
  <si>
    <t>Mali</t>
  </si>
  <si>
    <t>Mauritania</t>
  </si>
  <si>
    <t>Mozambique</t>
  </si>
  <si>
    <t>Niger</t>
  </si>
  <si>
    <t>Nigeria</t>
  </si>
  <si>
    <t>Republic of Congo</t>
  </si>
  <si>
    <t>Sao Tome and Príncipe</t>
  </si>
  <si>
    <t>South Sudan</t>
  </si>
  <si>
    <t>Uganda</t>
  </si>
  <si>
    <t>REG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</si>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</sst>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EEAC-8EE4-41A2-A845-664790DBDE07}">
  <sheetPr filterMode="1"/>
  <dimension ref="A1:P22"/>
  <sheetViews>
    <sheetView tabSelected="1" zoomScale="70" zoomScaleNormal="70" workbookViewId="0">
      <pane ySplit="1" topLeftCell="A2" activePane="bottomLeft" state="frozen"/>
      <selection pane="bottomLeft" activeCell="B21" sqref="B21"/>
    </sheetView>
  </sheetViews>
  <sheetFormatPr defaultColWidth="9.1796875" defaultRowHeight="13" x14ac:dyDescent="0.3"/>
  <cols>
    <col min="1" max="1" width="28.26953125" style="1" bestFit="1" customWidth="1"/>
    <col min="2" max="3" width="11.81640625" style="1" customWidth="1"/>
    <col min="4" max="4" width="10.26953125" style="1" customWidth="1"/>
    <col min="5" max="5" width="14.7265625" style="1" bestFit="1" customWidth="1"/>
    <col min="6" max="6" width="15.54296875" style="1" bestFit="1" customWidth="1"/>
    <col min="7" max="7" width="21.7265625" style="1" customWidth="1"/>
    <col min="8" max="8" width="18" style="1" bestFit="1" customWidth="1"/>
    <col min="9" max="9" width="20.81640625" style="1" bestFit="1" customWidth="1"/>
    <col min="10" max="10" width="21.7265625" style="1" bestFit="1" customWidth="1"/>
    <col min="11" max="11" width="21.54296875" style="1" bestFit="1" customWidth="1"/>
    <col min="12" max="13" width="21.54296875" style="1" customWidth="1"/>
    <col min="14" max="14" width="15" style="1" bestFit="1" customWidth="1"/>
    <col min="15" max="15" width="13.453125" style="1" bestFit="1" customWidth="1"/>
    <col min="16" max="16" width="9.81640625" style="1" bestFit="1" customWidth="1"/>
    <col min="17" max="16384" width="9.1796875" style="1"/>
  </cols>
  <sheetData>
    <row r="1" spans="1:1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6" t="s">
        <v>18</v>
      </c>
      <c r="E2" s="3">
        <v>4474321</v>
      </c>
      <c r="F2" s="3">
        <v>2651923</v>
      </c>
      <c r="G2" s="3">
        <v>700000</v>
      </c>
      <c r="H2" s="3">
        <v>275600</v>
      </c>
      <c r="I2" s="3">
        <v>2200000</v>
      </c>
      <c r="J2" s="3">
        <v>1300000</v>
      </c>
      <c r="K2" s="3"/>
      <c r="L2" s="3">
        <v>43402</v>
      </c>
      <c r="M2" s="3">
        <v>2062534</v>
      </c>
      <c r="N2" s="4">
        <v>658486359</v>
      </c>
      <c r="O2" s="4">
        <v>74597229</v>
      </c>
      <c r="P2" s="5">
        <v>0.1133</v>
      </c>
    </row>
    <row r="3" spans="1:16" hidden="1" x14ac:dyDescent="0.3">
      <c r="A3" s="6" t="s">
        <v>19</v>
      </c>
      <c r="B3" s="6" t="s">
        <v>20</v>
      </c>
      <c r="C3" s="2" t="s">
        <v>18</v>
      </c>
      <c r="D3" s="2" t="s">
        <v>21</v>
      </c>
      <c r="E3" s="6"/>
      <c r="F3" s="6"/>
      <c r="G3" s="3"/>
      <c r="H3" s="3"/>
      <c r="I3" s="3"/>
      <c r="J3" s="3"/>
      <c r="K3" s="3"/>
      <c r="L3" s="3">
        <v>113336</v>
      </c>
      <c r="M3" s="3">
        <v>92227</v>
      </c>
      <c r="N3" s="6"/>
      <c r="O3" s="6"/>
      <c r="P3" s="6"/>
    </row>
    <row r="4" spans="1:16" x14ac:dyDescent="0.3">
      <c r="A4" s="2" t="s">
        <v>22</v>
      </c>
      <c r="B4" s="2" t="s">
        <v>17</v>
      </c>
      <c r="C4" s="2" t="s">
        <v>18</v>
      </c>
      <c r="D4" s="6" t="s">
        <v>18</v>
      </c>
      <c r="E4" s="3">
        <v>2875515</v>
      </c>
      <c r="F4" s="3">
        <v>1880879</v>
      </c>
      <c r="G4" s="3"/>
      <c r="H4" s="3">
        <v>276000</v>
      </c>
      <c r="I4" s="3"/>
      <c r="J4" s="3"/>
      <c r="K4" s="3"/>
      <c r="L4" s="3">
        <f>409379+20068</f>
        <v>429447</v>
      </c>
      <c r="M4" s="3">
        <v>2224546</v>
      </c>
      <c r="N4" s="4">
        <v>318976221</v>
      </c>
      <c r="O4" s="4">
        <v>67831969</v>
      </c>
      <c r="P4" s="5">
        <v>0.2127</v>
      </c>
    </row>
    <row r="5" spans="1:16" x14ac:dyDescent="0.3">
      <c r="A5" s="2" t="s">
        <v>23</v>
      </c>
      <c r="B5" s="2" t="s">
        <v>17</v>
      </c>
      <c r="C5" s="2" t="s">
        <v>18</v>
      </c>
      <c r="D5" s="6" t="s">
        <v>18</v>
      </c>
      <c r="E5" s="3">
        <v>2286959</v>
      </c>
      <c r="F5" s="3">
        <v>1265483</v>
      </c>
      <c r="G5" s="3">
        <v>932100</v>
      </c>
      <c r="H5" s="3">
        <v>75900</v>
      </c>
      <c r="I5" s="3">
        <v>1000000</v>
      </c>
      <c r="J5" s="3">
        <v>500000</v>
      </c>
      <c r="K5" s="3"/>
      <c r="L5" s="3">
        <v>51450</v>
      </c>
      <c r="M5" s="3">
        <v>427479</v>
      </c>
      <c r="N5" s="4">
        <v>264097388</v>
      </c>
      <c r="O5" s="4">
        <v>47366115</v>
      </c>
      <c r="P5" s="5">
        <v>0.1794</v>
      </c>
    </row>
    <row r="6" spans="1:16" x14ac:dyDescent="0.3">
      <c r="A6" s="2" t="s">
        <v>24</v>
      </c>
      <c r="B6" s="2" t="s">
        <v>17</v>
      </c>
      <c r="C6" s="2" t="s">
        <v>18</v>
      </c>
      <c r="D6" s="6" t="s">
        <v>18</v>
      </c>
      <c r="E6" s="3">
        <v>4509014</v>
      </c>
      <c r="F6" s="3">
        <v>3352810</v>
      </c>
      <c r="G6" s="3">
        <v>1900000</v>
      </c>
      <c r="H6" s="3">
        <v>323200</v>
      </c>
      <c r="I6" s="3"/>
      <c r="J6" s="3"/>
      <c r="K6" s="3"/>
      <c r="L6" s="3">
        <f>1526439+9368</f>
        <v>1535807</v>
      </c>
      <c r="M6" s="3">
        <v>219595</v>
      </c>
      <c r="N6" s="4">
        <v>986069627</v>
      </c>
      <c r="O6" s="4">
        <v>225880090</v>
      </c>
      <c r="P6" s="5">
        <v>0.2291</v>
      </c>
    </row>
    <row r="7" spans="1:16" hidden="1" x14ac:dyDescent="0.3">
      <c r="A7" s="2" t="s">
        <v>25</v>
      </c>
      <c r="B7" s="6" t="s">
        <v>20</v>
      </c>
      <c r="C7" s="2" t="s">
        <v>18</v>
      </c>
      <c r="D7" s="2" t="s">
        <v>21</v>
      </c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5"/>
    </row>
    <row r="8" spans="1:16" x14ac:dyDescent="0.3">
      <c r="A8" s="2" t="s">
        <v>26</v>
      </c>
      <c r="B8" s="2" t="s">
        <v>17</v>
      </c>
      <c r="C8" s="2" t="s">
        <v>18</v>
      </c>
      <c r="D8" s="6" t="s">
        <v>18</v>
      </c>
      <c r="E8" s="3">
        <v>14940727</v>
      </c>
      <c r="F8" s="3">
        <v>7313763</v>
      </c>
      <c r="G8" s="3">
        <v>4700000</v>
      </c>
      <c r="H8" s="3">
        <v>1200000</v>
      </c>
      <c r="I8" s="3">
        <v>7500000</v>
      </c>
      <c r="J8" s="3">
        <v>2500000</v>
      </c>
      <c r="K8" s="3"/>
      <c r="L8" s="3">
        <v>603272</v>
      </c>
      <c r="M8" s="3">
        <v>5610736</v>
      </c>
      <c r="N8" s="4">
        <v>1403721718</v>
      </c>
      <c r="O8" s="4">
        <v>442146756</v>
      </c>
      <c r="P8" s="5">
        <v>0.315</v>
      </c>
    </row>
    <row r="9" spans="1:16" hidden="1" x14ac:dyDescent="0.3">
      <c r="A9" s="6" t="s">
        <v>27</v>
      </c>
      <c r="B9" s="6" t="s">
        <v>20</v>
      </c>
      <c r="C9" s="2" t="s">
        <v>18</v>
      </c>
      <c r="D9" s="2" t="s">
        <v>21</v>
      </c>
      <c r="E9" s="6"/>
      <c r="F9" s="6"/>
      <c r="G9" s="3"/>
      <c r="H9" s="3"/>
      <c r="I9" s="3"/>
      <c r="J9" s="3"/>
      <c r="K9" s="3"/>
      <c r="L9" s="3"/>
      <c r="M9" s="3"/>
      <c r="N9" s="6"/>
      <c r="O9" s="6"/>
      <c r="P9" s="6"/>
    </row>
    <row r="10" spans="1:16" hidden="1" x14ac:dyDescent="0.3">
      <c r="A10" s="6" t="s">
        <v>28</v>
      </c>
      <c r="B10" s="6" t="s">
        <v>20</v>
      </c>
      <c r="C10" s="2" t="s">
        <v>18</v>
      </c>
      <c r="D10" s="6" t="s">
        <v>18</v>
      </c>
      <c r="E10" s="6"/>
      <c r="F10" s="6"/>
      <c r="G10" s="3"/>
      <c r="H10" s="3"/>
      <c r="I10" s="3"/>
      <c r="J10" s="3"/>
      <c r="K10" s="3"/>
      <c r="L10" s="3">
        <v>1124655</v>
      </c>
      <c r="M10" s="3"/>
      <c r="N10" s="6"/>
      <c r="O10" s="6"/>
      <c r="P10" s="6"/>
    </row>
    <row r="11" spans="1:16" hidden="1" x14ac:dyDescent="0.3">
      <c r="A11" s="6" t="s">
        <v>29</v>
      </c>
      <c r="B11" s="6" t="s">
        <v>20</v>
      </c>
      <c r="C11" s="2" t="s">
        <v>18</v>
      </c>
      <c r="D11" s="2" t="s">
        <v>21</v>
      </c>
      <c r="E11" s="6"/>
      <c r="F11" s="6"/>
      <c r="G11" s="3"/>
      <c r="H11" s="3"/>
      <c r="I11" s="3"/>
      <c r="J11" s="3"/>
      <c r="K11" s="3"/>
      <c r="L11" s="3">
        <v>69</v>
      </c>
      <c r="M11" s="3"/>
      <c r="N11" s="6"/>
      <c r="O11" s="6"/>
      <c r="P11" s="6"/>
    </row>
    <row r="12" spans="1:16" x14ac:dyDescent="0.3">
      <c r="A12" s="2" t="s">
        <v>30</v>
      </c>
      <c r="B12" s="2" t="s">
        <v>31</v>
      </c>
      <c r="C12" s="2" t="s">
        <v>21</v>
      </c>
      <c r="D12" s="6" t="s">
        <v>18</v>
      </c>
      <c r="E12" s="3">
        <v>632461</v>
      </c>
      <c r="F12" s="3">
        <v>454975</v>
      </c>
      <c r="G12" s="3"/>
      <c r="H12" s="3"/>
      <c r="I12" s="3"/>
      <c r="J12" s="3"/>
      <c r="K12" s="3"/>
      <c r="L12" s="3"/>
      <c r="M12" s="3"/>
      <c r="N12" s="4">
        <v>67953475</v>
      </c>
      <c r="O12" s="4">
        <v>29796151</v>
      </c>
      <c r="P12" s="5">
        <v>0.4385</v>
      </c>
    </row>
    <row r="13" spans="1:16" x14ac:dyDescent="0.3">
      <c r="A13" s="2" t="s">
        <v>32</v>
      </c>
      <c r="B13" s="2" t="s">
        <v>17</v>
      </c>
      <c r="C13" s="2" t="s">
        <v>18</v>
      </c>
      <c r="D13" s="6" t="s">
        <v>18</v>
      </c>
      <c r="E13" s="3">
        <v>5083155</v>
      </c>
      <c r="F13" s="3">
        <v>3808385</v>
      </c>
      <c r="G13" s="3">
        <v>1500000</v>
      </c>
      <c r="H13" s="3"/>
      <c r="I13" s="3"/>
      <c r="J13" s="3"/>
      <c r="K13" s="3"/>
      <c r="L13" s="3">
        <f>180619+97020+13645+315</f>
        <v>291599</v>
      </c>
      <c r="M13" s="3">
        <v>414524</v>
      </c>
      <c r="N13" s="4">
        <v>577866412</v>
      </c>
      <c r="O13" s="4">
        <v>76166844</v>
      </c>
      <c r="P13" s="5">
        <v>0.1318</v>
      </c>
    </row>
    <row r="14" spans="1:16" hidden="1" x14ac:dyDescent="0.3">
      <c r="A14" s="6" t="s">
        <v>33</v>
      </c>
      <c r="B14" s="6" t="s">
        <v>20</v>
      </c>
      <c r="C14" s="2" t="s">
        <v>21</v>
      </c>
      <c r="D14" s="2" t="s">
        <v>21</v>
      </c>
      <c r="E14" s="6"/>
      <c r="F14" s="6"/>
      <c r="G14" s="3"/>
      <c r="H14" s="3"/>
      <c r="I14" s="3"/>
      <c r="J14" s="3"/>
      <c r="K14" s="3"/>
      <c r="L14" s="3">
        <f>170196+7305</f>
        <v>177501</v>
      </c>
      <c r="M14" s="3"/>
      <c r="N14" s="6"/>
      <c r="O14" s="6"/>
      <c r="P14" s="6"/>
    </row>
    <row r="15" spans="1:16" x14ac:dyDescent="0.3">
      <c r="A15" s="2" t="s">
        <v>34</v>
      </c>
      <c r="B15" s="2" t="s">
        <v>17</v>
      </c>
      <c r="C15" s="2" t="s">
        <v>18</v>
      </c>
      <c r="D15" s="6" t="s">
        <v>18</v>
      </c>
      <c r="E15" s="3">
        <v>2356162</v>
      </c>
      <c r="F15" s="3">
        <v>1745582</v>
      </c>
      <c r="G15" s="3">
        <v>919500</v>
      </c>
      <c r="H15" s="3">
        <v>183100</v>
      </c>
      <c r="I15" s="3"/>
      <c r="J15" s="3"/>
      <c r="K15" s="3"/>
      <c r="L15" s="3">
        <v>24113</v>
      </c>
      <c r="M15" s="3">
        <f>461237+148006</f>
        <v>609243</v>
      </c>
      <c r="N15" s="4">
        <v>534342584</v>
      </c>
      <c r="O15" s="4">
        <v>128293566</v>
      </c>
      <c r="P15" s="5">
        <v>0.24010000000000001</v>
      </c>
    </row>
    <row r="16" spans="1:16" x14ac:dyDescent="0.3">
      <c r="A16" s="2" t="s">
        <v>35</v>
      </c>
      <c r="B16" s="2" t="s">
        <v>17</v>
      </c>
      <c r="C16" s="2" t="s">
        <v>18</v>
      </c>
      <c r="D16" s="6" t="s">
        <v>18</v>
      </c>
      <c r="E16" s="3">
        <v>3081200</v>
      </c>
      <c r="F16" s="3">
        <v>1983640</v>
      </c>
      <c r="G16" s="3">
        <v>415000</v>
      </c>
      <c r="H16" s="3"/>
      <c r="I16" s="3"/>
      <c r="J16" s="3"/>
      <c r="K16" s="3"/>
      <c r="L16" s="3">
        <v>436352</v>
      </c>
      <c r="M16" s="3">
        <v>548386</v>
      </c>
      <c r="N16" s="4">
        <v>675619589</v>
      </c>
      <c r="O16" s="4">
        <v>66462854</v>
      </c>
      <c r="P16" s="5">
        <v>9.8400000000000001E-2</v>
      </c>
    </row>
    <row r="17" spans="1:16" x14ac:dyDescent="0.3">
      <c r="A17" s="2" t="s">
        <v>36</v>
      </c>
      <c r="B17" s="2" t="s">
        <v>17</v>
      </c>
      <c r="C17" s="2" t="s">
        <v>18</v>
      </c>
      <c r="D17" s="6" t="s">
        <v>18</v>
      </c>
      <c r="E17" s="3">
        <v>5929291</v>
      </c>
      <c r="F17" s="3">
        <v>2527178</v>
      </c>
      <c r="G17" s="3">
        <v>2500000</v>
      </c>
      <c r="H17" s="3">
        <v>487200</v>
      </c>
      <c r="I17" s="3"/>
      <c r="J17" s="3"/>
      <c r="K17" s="3"/>
      <c r="L17" s="3">
        <v>138750</v>
      </c>
      <c r="M17" s="3">
        <v>3711314</v>
      </c>
      <c r="N17" s="4">
        <v>516399423</v>
      </c>
      <c r="O17" s="4">
        <v>193732226</v>
      </c>
      <c r="P17" s="5">
        <v>0.37519999999999998</v>
      </c>
    </row>
    <row r="18" spans="1:16" hidden="1" x14ac:dyDescent="0.3">
      <c r="A18" s="6" t="s">
        <v>37</v>
      </c>
      <c r="B18" s="6" t="s">
        <v>20</v>
      </c>
      <c r="C18" s="2" t="s">
        <v>18</v>
      </c>
      <c r="D18" s="2" t="s">
        <v>21</v>
      </c>
      <c r="E18" s="6"/>
      <c r="F18" s="6"/>
      <c r="G18" s="3"/>
      <c r="H18" s="3"/>
      <c r="I18" s="3"/>
      <c r="J18" s="3"/>
      <c r="K18" s="3"/>
      <c r="L18" s="3"/>
      <c r="M18" s="3"/>
      <c r="N18" s="6"/>
      <c r="O18" s="6"/>
      <c r="P18" s="6"/>
    </row>
    <row r="19" spans="1:16" hidden="1" x14ac:dyDescent="0.3">
      <c r="A19" s="6" t="s">
        <v>38</v>
      </c>
      <c r="B19" s="6" t="s">
        <v>20</v>
      </c>
      <c r="C19" s="2" t="s">
        <v>18</v>
      </c>
      <c r="D19" s="2" t="s">
        <v>21</v>
      </c>
      <c r="E19" s="6"/>
      <c r="F19" s="6"/>
      <c r="G19" s="3"/>
      <c r="H19" s="3"/>
      <c r="I19" s="3"/>
      <c r="J19" s="3"/>
      <c r="K19" s="3"/>
      <c r="L19" s="3"/>
      <c r="M19" s="3"/>
      <c r="N19" s="6"/>
      <c r="O19" s="6"/>
      <c r="P19" s="6"/>
    </row>
    <row r="20" spans="1:16" x14ac:dyDescent="0.3">
      <c r="A20" s="2" t="s">
        <v>39</v>
      </c>
      <c r="B20" s="2" t="s">
        <v>17</v>
      </c>
      <c r="C20" s="2" t="s">
        <v>18</v>
      </c>
      <c r="D20" s="6" t="s">
        <v>18</v>
      </c>
      <c r="E20" s="3">
        <v>9913863</v>
      </c>
      <c r="F20" s="3">
        <v>4343435</v>
      </c>
      <c r="G20" s="3">
        <v>4100000</v>
      </c>
      <c r="H20" s="3">
        <v>600000</v>
      </c>
      <c r="I20" s="3"/>
      <c r="J20" s="3"/>
      <c r="K20" s="3"/>
      <c r="L20" s="3">
        <f>619331+3835</f>
        <v>623166</v>
      </c>
      <c r="M20" s="3">
        <v>1992513</v>
      </c>
      <c r="N20" s="4">
        <v>1463046056</v>
      </c>
      <c r="O20" s="4">
        <v>341289395</v>
      </c>
      <c r="P20" s="5">
        <v>0.23330000000000001</v>
      </c>
    </row>
    <row r="21" spans="1:16" x14ac:dyDescent="0.3">
      <c r="A21" s="2" t="s">
        <v>40</v>
      </c>
      <c r="B21" s="2" t="s">
        <v>41</v>
      </c>
      <c r="C21" s="2" t="s">
        <v>21</v>
      </c>
      <c r="D21" s="2" t="s">
        <v>21</v>
      </c>
      <c r="E21" s="3">
        <v>2225443</v>
      </c>
      <c r="F21" s="3">
        <v>2225443</v>
      </c>
      <c r="G21" s="3">
        <v>1800000</v>
      </c>
      <c r="H21" s="3"/>
      <c r="I21" s="3"/>
      <c r="J21" s="3"/>
      <c r="K21" s="3"/>
      <c r="L21" s="3">
        <f>1951214+48362</f>
        <v>1999576</v>
      </c>
      <c r="M21" s="3"/>
      <c r="N21" s="4">
        <v>828700000</v>
      </c>
      <c r="O21" s="4">
        <v>57886627</v>
      </c>
      <c r="P21" s="5">
        <v>6.9900000000000004E-2</v>
      </c>
    </row>
    <row r="22" spans="1:16" hidden="1" x14ac:dyDescent="0.3">
      <c r="A22" s="6" t="s">
        <v>42</v>
      </c>
      <c r="B22" s="6" t="s">
        <v>20</v>
      </c>
      <c r="C22" s="2" t="s">
        <v>18</v>
      </c>
      <c r="D22" s="6" t="s">
        <v>18</v>
      </c>
      <c r="E22" s="6"/>
      <c r="F22" s="6"/>
      <c r="G22" s="6"/>
      <c r="H22" s="6"/>
      <c r="I22" s="6"/>
      <c r="J22" s="6"/>
      <c r="K22" s="6"/>
      <c r="L22" s="3">
        <v>22212</v>
      </c>
      <c r="M22" s="3"/>
      <c r="N22" s="6"/>
      <c r="O22" s="6"/>
      <c r="P22" s="6"/>
    </row>
  </sheetData>
  <autoFilter ref="A1:P22" xr:uid="{10CDEEAC-8EE4-41A2-A845-664790DBDE07}">
    <filterColumn colId="1">
      <filters>
        <filter val="FA"/>
        <filter val="HNRP"/>
        <filter val="REG"/>
      </filters>
    </filterColumn>
  </autoFilter>
  <sortState xmlns:xlrd2="http://schemas.microsoft.com/office/spreadsheetml/2017/richdata2" ref="A2:P31">
    <sortCondition ref="A2:A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World Health Organization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SARR, Mohamet Lamine Dethie</dc:creator>
  <cp:keywords/>
  <dc:description/>
  <cp:lastModifiedBy>SARR, Mohamet Lamine Dethie</cp:lastModifiedBy>
  <cp:revision/>
  <dcterms:created xsi:type="dcterms:W3CDTF">2026-04-25T17:14:03Z</dcterms:created>
  <dcterms:modified xsi:type="dcterms:W3CDTF">2026-05-08T11:32:19Z</dcterms:modified>
  <cp:category/>
  <cp:contentStatus/>
</cp:coreProperties>
</file>